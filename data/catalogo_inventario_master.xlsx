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esumen" sheetId="1" state="visible" r:id="rId1"/>
    <sheet xmlns:r="http://schemas.openxmlformats.org/officeDocument/2006/relationships" name="Catálogo Mae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b val="1"/>
      <color rgb="001F4E78"/>
      <sz val="16"/>
    </font>
    <font>
      <name val="Segoe UI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3" fillId="6" borderId="1" pivotButton="0" quotePrefix="0" xfId="0"/>
    <xf numFmtId="0" fontId="0" fillId="0" borderId="5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3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de Inventario por Categoría (MXN)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Resumen'!C11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Resumen'!$B$12:$B$16</f>
            </numRef>
          </cat>
          <val>
            <numRef>
              <f>'Dashboard Resumen'!$C$12:$C$16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22" customWidth="1" min="3" max="3"/>
    <col width="18" customWidth="1" min="4" max="4"/>
  </cols>
  <sheetData>
    <row r="2" ht="30" customHeight="1">
      <c r="B2" s="1" t="inlineStr">
        <is>
          <t>Resumen Ejecutivo y KPIs de Inventario</t>
        </is>
      </c>
    </row>
    <row r="4" ht="22" customHeight="1">
      <c r="B4" s="2" t="inlineStr">
        <is>
          <t>Total Productos Únicos</t>
        </is>
      </c>
      <c r="C4" s="3" t="n"/>
      <c r="D4" s="4">
        <f>COUNTA('Catálogo Maestro'!A3:A68)</f>
        <v/>
      </c>
    </row>
    <row r="5" ht="22" customHeight="1">
      <c r="B5" s="2" t="inlineStr">
        <is>
          <t>Unidades Totales en Stock</t>
        </is>
      </c>
      <c r="C5" s="3" t="n"/>
      <c r="D5" s="4">
        <f>'Catálogo Maestro'!E69</f>
        <v/>
      </c>
    </row>
    <row r="6" ht="22" customHeight="1">
      <c r="B6" s="2" t="inlineStr">
        <is>
          <t>Valorización de Inventario</t>
        </is>
      </c>
      <c r="C6" s="3" t="n"/>
      <c r="D6" s="5">
        <f>'Catálogo Maestro'!J69</f>
        <v/>
      </c>
    </row>
    <row r="7" ht="22" customHeight="1">
      <c r="B7" s="2" t="inlineStr">
        <is>
          <t>Precio Unitario Promedio</t>
        </is>
      </c>
      <c r="C7" s="3" t="n"/>
      <c r="D7" s="5">
        <f>AVERAGE('Catálogo Maestro'!D3:D68)</f>
        <v/>
      </c>
    </row>
    <row r="10">
      <c r="B10" s="6" t="inlineStr">
        <is>
          <t>Distribución por Categoría</t>
        </is>
      </c>
    </row>
    <row r="11">
      <c r="B11" s="7" t="inlineStr">
        <is>
          <t>Categoría</t>
        </is>
      </c>
      <c r="C11" s="8" t="inlineStr">
        <is>
          <t>Valor Inventario</t>
        </is>
      </c>
    </row>
    <row r="12">
      <c r="B12" s="9" t="inlineStr">
        <is>
          <t>Electrónica</t>
        </is>
      </c>
      <c r="C12" s="10">
        <f>SUMIF('Catálogo Maestro'!C3:C68, B12, 'Catálogo Maestro'!J3:J68)</f>
        <v/>
      </c>
    </row>
    <row r="13">
      <c r="B13" s="9" t="inlineStr">
        <is>
          <t>Audio</t>
        </is>
      </c>
      <c r="C13" s="10">
        <f>SUMIF('Catálogo Maestro'!C3:C68, B13, 'Catálogo Maestro'!J3:J68)</f>
        <v/>
      </c>
    </row>
    <row r="14">
      <c r="B14" s="9" t="inlineStr">
        <is>
          <t>Accesorios</t>
        </is>
      </c>
      <c r="C14" s="10">
        <f>SUMIF('Catálogo Maestro'!C3:C68, B14, 'Catálogo Maestro'!J3:J68)</f>
        <v/>
      </c>
    </row>
    <row r="15">
      <c r="B15" s="9" t="inlineStr">
        <is>
          <t>Mobiliario</t>
        </is>
      </c>
      <c r="C15" s="10">
        <f>SUMIF('Catálogo Maestro'!C3:C68, B15, 'Catálogo Maestro'!J3:J68)</f>
        <v/>
      </c>
    </row>
    <row r="16">
      <c r="B16" s="9" t="inlineStr">
        <is>
          <t>Hogar</t>
        </is>
      </c>
      <c r="C16" s="10">
        <f>SUMIF('Catálogo Maestro'!C3:C68, B16, 'Catálogo Maestro'!J3:J68)</f>
        <v/>
      </c>
    </row>
  </sheetData>
  <mergeCells count="4">
    <mergeCell ref="B6:C6"/>
    <mergeCell ref="B5:C5"/>
    <mergeCell ref="B4:C4"/>
    <mergeCell ref="B7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7" customWidth="1" min="2" max="2"/>
    <col width="17" customWidth="1" min="3" max="3"/>
    <col width="25" customWidth="1" min="4" max="4"/>
    <col width="16" customWidth="1" min="5" max="5"/>
    <col width="13" customWidth="1" min="6" max="6"/>
    <col width="24" customWidth="1" min="7" max="7"/>
    <col width="17" customWidth="1" min="8" max="8"/>
    <col width="101" customWidth="1" min="9" max="9"/>
    <col width="33" customWidth="1" min="10" max="10"/>
  </cols>
  <sheetData>
    <row r="1"/>
    <row r="2" ht="26" customHeight="1">
      <c r="A2" s="11" t="inlineStr">
        <is>
          <t>ID Producto</t>
        </is>
      </c>
      <c r="B2" s="12" t="inlineStr">
        <is>
          <t>Nombre de Producto</t>
        </is>
      </c>
      <c r="C2" s="12" t="inlineStr">
        <is>
          <t>Categoría</t>
        </is>
      </c>
      <c r="D2" s="8" t="inlineStr">
        <is>
          <t>Precio Unitario (MXN)</t>
        </is>
      </c>
      <c r="E2" s="8" t="inlineStr">
        <is>
          <t>Stock</t>
        </is>
      </c>
      <c r="F2" s="11" t="inlineStr">
        <is>
          <t>ID Tienda</t>
        </is>
      </c>
      <c r="G2" s="12" t="inlineStr">
        <is>
          <t>Proveedor</t>
        </is>
      </c>
      <c r="H2" s="11" t="inlineStr">
        <is>
          <t>Fecha Ingreso</t>
        </is>
      </c>
      <c r="I2" s="11" t="inlineStr">
        <is>
          <t>Estado</t>
        </is>
      </c>
      <c r="J2" s="8" t="inlineStr">
        <is>
          <t>Valor Total Inventario</t>
        </is>
      </c>
    </row>
    <row r="3" ht="20" customHeight="1">
      <c r="A3" s="13" t="inlineStr">
        <is>
          <t>PROD-5001</t>
        </is>
      </c>
      <c r="B3" s="14" t="inlineStr">
        <is>
          <t>Laptop Gamer Alpha - Estándar</t>
        </is>
      </c>
      <c r="C3" s="14" t="inlineStr">
        <is>
          <t>Electrónica</t>
        </is>
      </c>
      <c r="D3" s="15" t="n">
        <v>13381</v>
      </c>
      <c r="E3" s="16" t="n">
        <v>116</v>
      </c>
      <c r="F3" s="13" t="inlineStr">
        <is>
          <t>México</t>
        </is>
      </c>
      <c r="G3" s="14" t="inlineStr">
        <is>
          <t>LogiTech Dist.</t>
        </is>
      </c>
      <c r="H3" s="13" t="inlineStr">
        <is>
          <t>2025-09-18</t>
        </is>
      </c>
      <c r="I3" s="13">
        <f>IF(ISBLANK(E3), "Sin Verificar", IF(E3=0, "Agotado", IF(E3&lt;=15, "Bajo Stock", "Disponible")))</f>
        <v/>
      </c>
      <c r="J3" s="15">
        <f>IF(ISBLANK(E3), 0, D3*E3)</f>
        <v/>
      </c>
    </row>
    <row r="4" ht="20" customHeight="1">
      <c r="A4" s="17" t="inlineStr">
        <is>
          <t>PROD-5002</t>
        </is>
      </c>
      <c r="B4" s="9" t="inlineStr">
        <is>
          <t>Laptop Gamer Alpha - Pro</t>
        </is>
      </c>
      <c r="C4" s="9" t="inlineStr">
        <is>
          <t>Electrónica</t>
        </is>
      </c>
      <c r="D4" s="10" t="n">
        <v>31723</v>
      </c>
      <c r="E4" s="18" t="n">
        <v>27</v>
      </c>
      <c r="F4" s="17" t="inlineStr">
        <is>
          <t>México</t>
        </is>
      </c>
      <c r="G4" s="9" t="inlineStr">
        <is>
          <t>Global Audio SA</t>
        </is>
      </c>
      <c r="H4" s="17" t="inlineStr">
        <is>
          <t>2025-09-09</t>
        </is>
      </c>
      <c r="I4" s="17">
        <f>IF(ISBLANK(E4), "Sin Verificar", IF(E4=0, "Agotado", IF(E4&lt;=15, "Bajo Stock", "Disponible")))</f>
        <v/>
      </c>
      <c r="J4" s="10">
        <f>IF(ISBLANK(E4), 0, D4*E4)</f>
        <v/>
      </c>
    </row>
    <row r="5" ht="20" customHeight="1">
      <c r="A5" s="13" t="inlineStr">
        <is>
          <t>PROD-5003</t>
        </is>
      </c>
      <c r="B5" s="14" t="inlineStr">
        <is>
          <t>Laptop Gamer Alpha - Enterprise</t>
        </is>
      </c>
      <c r="C5" s="14" t="inlineStr">
        <is>
          <t>Electrónica</t>
        </is>
      </c>
      <c r="D5" s="15" t="n">
        <v>30227</v>
      </c>
      <c r="E5" s="16" t="n">
        <v>56</v>
      </c>
      <c r="F5" s="13" t="inlineStr">
        <is>
          <t>mex</t>
        </is>
      </c>
      <c r="G5" s="14" t="inlineStr">
        <is>
          <t>LogiTech Dist.</t>
        </is>
      </c>
      <c r="H5" s="13" t="inlineStr">
        <is>
          <t>2026-02-22</t>
        </is>
      </c>
      <c r="I5" s="13">
        <f>IF(ISBLANK(E5), "Sin Verificar", IF(E5=0, "Agotado", IF(E5&lt;=15, "Bajo Stock", "Disponible")))</f>
        <v/>
      </c>
      <c r="J5" s="15">
        <f>IF(ISBLANK(E5), 0, D5*E5)</f>
        <v/>
      </c>
    </row>
    <row r="6" ht="20" customHeight="1">
      <c r="A6" s="17" t="inlineStr">
        <is>
          <t>PROD-5004</t>
        </is>
      </c>
      <c r="B6" s="9" t="inlineStr">
        <is>
          <t>Smartphone UltraV - Estándar</t>
        </is>
      </c>
      <c r="C6" s="9" t="inlineStr">
        <is>
          <t>Electrónica</t>
        </is>
      </c>
      <c r="D6" s="10" t="n">
        <v>21588</v>
      </c>
      <c r="E6" s="18" t="n">
        <v>98</v>
      </c>
      <c r="F6" s="17" t="inlineStr">
        <is>
          <t>mex</t>
        </is>
      </c>
      <c r="G6" s="9" t="inlineStr">
        <is>
          <t>Muebles del Norte</t>
        </is>
      </c>
      <c r="H6" s="17" t="inlineStr">
        <is>
          <t>2025-09-16</t>
        </is>
      </c>
      <c r="I6" s="17">
        <f>IF(ISBLANK(E6), "Sin Verificar", IF(E6=0, "Agotado", IF(E6&lt;=15, "Bajo Stock", "Disponible")))</f>
        <v/>
      </c>
      <c r="J6" s="10">
        <f>IF(ISBLANK(E6), 0, D6*E6)</f>
        <v/>
      </c>
    </row>
    <row r="7" ht="20" customHeight="1">
      <c r="A7" s="13" t="inlineStr">
        <is>
          <t>PROD-5005</t>
        </is>
      </c>
      <c r="B7" s="14" t="inlineStr">
        <is>
          <t>Smartphone UltraV - Pro</t>
        </is>
      </c>
      <c r="C7" s="14" t="inlineStr">
        <is>
          <t>Electrónica</t>
        </is>
      </c>
      <c r="D7" s="15" t="n">
        <v>20013</v>
      </c>
      <c r="E7" s="16" t="n">
        <v>81</v>
      </c>
      <c r="F7" s="13" t="inlineStr">
        <is>
          <t>mexico</t>
        </is>
      </c>
      <c r="G7" s="14" t="inlineStr">
        <is>
          <t>LogiTech Dist.</t>
        </is>
      </c>
      <c r="H7" s="13" t="inlineStr">
        <is>
          <t>2026-01-29</t>
        </is>
      </c>
      <c r="I7" s="13">
        <f>IF(ISBLANK(E7), "Sin Verificar", IF(E7=0, "Agotado", IF(E7&lt;=15, "Bajo Stock", "Disponible")))</f>
        <v/>
      </c>
      <c r="J7" s="15">
        <f>IF(ISBLANK(E7), 0, D7*E7)</f>
        <v/>
      </c>
    </row>
    <row r="8" ht="20" customHeight="1">
      <c r="A8" s="17" t="inlineStr">
        <is>
          <t>PROD-5006</t>
        </is>
      </c>
      <c r="B8" s="9" t="inlineStr">
        <is>
          <t>Smartphone UltraV - Enterprise</t>
        </is>
      </c>
      <c r="C8" s="9" t="inlineStr">
        <is>
          <t>Electrónica</t>
        </is>
      </c>
      <c r="D8" s="10" t="n">
        <v>35861</v>
      </c>
      <c r="E8" s="18" t="n">
        <v>59</v>
      </c>
      <c r="F8" s="17" t="inlineStr">
        <is>
          <t>MX</t>
        </is>
      </c>
      <c r="G8" s="9" t="inlineStr">
        <is>
          <t>Muebles del Norte</t>
        </is>
      </c>
      <c r="H8" s="17" t="inlineStr">
        <is>
          <t>2025-11-28</t>
        </is>
      </c>
      <c r="I8" s="17">
        <f>IF(ISBLANK(E8), "Sin Verificar", IF(E8=0, "Agotado", IF(E8&lt;=15, "Bajo Stock", "Disponible")))</f>
        <v/>
      </c>
      <c r="J8" s="10">
        <f>IF(ISBLANK(E8), 0, D8*E8)</f>
        <v/>
      </c>
    </row>
    <row r="9" ht="20" customHeight="1">
      <c r="A9" s="13" t="inlineStr">
        <is>
          <t>PROD-5007</t>
        </is>
      </c>
      <c r="B9" s="14" t="inlineStr">
        <is>
          <t>Monitor Pro 32" - Estándar</t>
        </is>
      </c>
      <c r="C9" s="14" t="inlineStr">
        <is>
          <t>Electrónica</t>
        </is>
      </c>
      <c r="D9" s="15" t="n">
        <v>19931</v>
      </c>
      <c r="E9" s="16" t="n">
        <v>100</v>
      </c>
      <c r="F9" s="13" t="inlineStr">
        <is>
          <t>mexico</t>
        </is>
      </c>
      <c r="G9" s="14" t="inlineStr">
        <is>
          <t>ElectroHogar Express</t>
        </is>
      </c>
      <c r="H9" s="13" t="inlineStr">
        <is>
          <t>2026-04-06</t>
        </is>
      </c>
      <c r="I9" s="13">
        <f>IF(ISBLANK(E9), "Sin Verificar", IF(E9=0, "Agotado", IF(E9&lt;=15, "Bajo Stock", "Disponible")))</f>
        <v/>
      </c>
      <c r="J9" s="15">
        <f>IF(ISBLANK(E9), 0, D9*E9)</f>
        <v/>
      </c>
    </row>
    <row r="10" ht="20" customHeight="1">
      <c r="A10" s="17" t="inlineStr">
        <is>
          <t>PROD-5008</t>
        </is>
      </c>
      <c r="B10" s="9" t="inlineStr">
        <is>
          <t>Monitor Pro 32" - Pro</t>
        </is>
      </c>
      <c r="C10" s="9" t="inlineStr">
        <is>
          <t>Electrónica</t>
        </is>
      </c>
      <c r="D10" s="10" t="n">
        <v>27959</v>
      </c>
      <c r="E10" s="19" t="n">
        <v>0</v>
      </c>
      <c r="F10" s="17" t="inlineStr">
        <is>
          <t>mex</t>
        </is>
      </c>
      <c r="G10" s="9" t="inlineStr">
        <is>
          <t>LogiTech Dist.</t>
        </is>
      </c>
      <c r="H10" s="17" t="inlineStr">
        <is>
          <t>2025-08-15</t>
        </is>
      </c>
      <c r="I10" s="17">
        <f>IF(ISBLANK(E10), "Sin Verificar", IF(E10=0, "Agotado", IF(E10&lt;=15, "Bajo Stock", "Disponible")))</f>
        <v/>
      </c>
      <c r="J10" s="10">
        <f>IF(ISBLANK(E10), 0, D10*E10)</f>
        <v/>
      </c>
    </row>
    <row r="11" ht="20" customHeight="1">
      <c r="A11" s="13" t="inlineStr">
        <is>
          <t>PROD-5009</t>
        </is>
      </c>
      <c r="B11" s="14" t="inlineStr">
        <is>
          <t>Monitor Pro 32" - Enterprise</t>
        </is>
      </c>
      <c r="C11" s="14" t="inlineStr">
        <is>
          <t>Electrónica</t>
        </is>
      </c>
      <c r="D11" s="15" t="n">
        <v>31145</v>
      </c>
      <c r="E11" s="16" t="n">
        <v/>
      </c>
      <c r="F11" s="13" t="inlineStr">
        <is>
          <t>México</t>
        </is>
      </c>
      <c r="G11" s="14" t="inlineStr">
        <is>
          <t>Muebles del Norte</t>
        </is>
      </c>
      <c r="H11" s="13" t="inlineStr">
        <is>
          <t>2026-05-11</t>
        </is>
      </c>
      <c r="I11" s="13">
        <f>IF(ISBLANK(E11), "Sin Verificar", IF(E11=0, "Agotado", IF(E11&lt;=15, "Bajo Stock", "Disponible")))</f>
        <v/>
      </c>
      <c r="J11" s="15">
        <f>IF(ISBLANK(E11), 0, D11*E11)</f>
        <v/>
      </c>
    </row>
    <row r="12" ht="20" customHeight="1">
      <c r="A12" s="17" t="inlineStr">
        <is>
          <t>PROD-5010</t>
        </is>
      </c>
      <c r="B12" s="9" t="inlineStr">
        <is>
          <t>Tablet Touch 11" - Estándar</t>
        </is>
      </c>
      <c r="C12" s="9" t="inlineStr">
        <is>
          <t>Electrónica</t>
        </is>
      </c>
      <c r="D12" s="10" t="n">
        <v>12025</v>
      </c>
      <c r="E12" s="20" t="n">
        <v>4</v>
      </c>
      <c r="F12" s="17" t="inlineStr">
        <is>
          <t>México</t>
        </is>
      </c>
      <c r="G12" s="9" t="inlineStr">
        <is>
          <t>Global Audio SA</t>
        </is>
      </c>
      <c r="H12" s="17" t="inlineStr">
        <is>
          <t>2026-04-12</t>
        </is>
      </c>
      <c r="I12" s="17">
        <f>IF(ISBLANK(E12), "Sin Verificar", IF(E12=0, "Agotado", IF(E12&lt;=15, "Bajo Stock", "Disponible")))</f>
        <v/>
      </c>
      <c r="J12" s="10">
        <f>IF(ISBLANK(E12), 0, D12*E12)</f>
        <v/>
      </c>
    </row>
    <row r="13" ht="20" customHeight="1">
      <c r="A13" s="13" t="inlineStr">
        <is>
          <t>PROD-5011</t>
        </is>
      </c>
      <c r="B13" s="14" t="inlineStr">
        <is>
          <t>Tablet Touch 11" - Pro</t>
        </is>
      </c>
      <c r="C13" s="14" t="inlineStr">
        <is>
          <t>Electrónica</t>
        </is>
      </c>
      <c r="D13" s="15" t="n">
        <v>27351</v>
      </c>
      <c r="E13" s="16" t="n">
        <v>87</v>
      </c>
      <c r="F13" s="13" t="inlineStr">
        <is>
          <t>México</t>
        </is>
      </c>
      <c r="G13" s="14" t="inlineStr">
        <is>
          <t>ElectroHogar Express</t>
        </is>
      </c>
      <c r="H13" s="13" t="inlineStr">
        <is>
          <t>2025-07-28</t>
        </is>
      </c>
      <c r="I13" s="13">
        <f>IF(ISBLANK(E13), "Sin Verificar", IF(E13=0, "Agotado", IF(E13&lt;=15, "Bajo Stock", "Disponible")))</f>
        <v/>
      </c>
      <c r="J13" s="15">
        <f>IF(ISBLANK(E13), 0, D13*E13)</f>
        <v/>
      </c>
    </row>
    <row r="14" ht="20" customHeight="1">
      <c r="A14" s="17" t="inlineStr">
        <is>
          <t>PROD-5012</t>
        </is>
      </c>
      <c r="B14" s="9" t="inlineStr">
        <is>
          <t>Tablet Touch 11" - Enterprise</t>
        </is>
      </c>
      <c r="C14" s="9" t="inlineStr">
        <is>
          <t>Electrónica</t>
        </is>
      </c>
      <c r="D14" s="10" t="n">
        <v>21165</v>
      </c>
      <c r="E14" s="18" t="n">
        <v>63</v>
      </c>
      <c r="F14" s="17" t="inlineStr">
        <is>
          <t>México</t>
        </is>
      </c>
      <c r="G14" s="9" t="inlineStr">
        <is>
          <t>TechImports MX</t>
        </is>
      </c>
      <c r="H14" s="17" t="inlineStr">
        <is>
          <t>2026-02-12</t>
        </is>
      </c>
      <c r="I14" s="17">
        <f>IF(ISBLANK(E14), "Sin Verificar", IF(E14=0, "Agotado", IF(E14&lt;=15, "Bajo Stock", "Disponible")))</f>
        <v/>
      </c>
      <c r="J14" s="10">
        <f>IF(ISBLANK(E14), 0, D14*E14)</f>
        <v/>
      </c>
    </row>
    <row r="15" ht="20" customHeight="1">
      <c r="A15" s="13" t="inlineStr">
        <is>
          <t>PROD-5013</t>
        </is>
      </c>
      <c r="B15" s="14" t="inlineStr">
        <is>
          <t>Consola Nexus X - Estándar</t>
        </is>
      </c>
      <c r="C15" s="14" t="inlineStr">
        <is>
          <t>Electrónica</t>
        </is>
      </c>
      <c r="D15" s="15" t="n">
        <v>7194</v>
      </c>
      <c r="E15" s="20" t="n">
        <v>10</v>
      </c>
      <c r="F15" s="13" t="inlineStr">
        <is>
          <t>México</t>
        </is>
      </c>
      <c r="G15" s="14" t="inlineStr">
        <is>
          <t>ElectroHogar Express</t>
        </is>
      </c>
      <c r="H15" s="13" t="inlineStr">
        <is>
          <t>2025-08-15</t>
        </is>
      </c>
      <c r="I15" s="13">
        <f>IF(ISBLANK(E15), "Sin Verificar", IF(E15=0, "Agotado", IF(E15&lt;=15, "Bajo Stock", "Disponible")))</f>
        <v/>
      </c>
      <c r="J15" s="15">
        <f>IF(ISBLANK(E15), 0, D15*E15)</f>
        <v/>
      </c>
    </row>
    <row r="16" ht="20" customHeight="1">
      <c r="A16" s="17" t="inlineStr">
        <is>
          <t>PROD-5014</t>
        </is>
      </c>
      <c r="B16" s="9" t="inlineStr">
        <is>
          <t>Consola Nexus X - Pro</t>
        </is>
      </c>
      <c r="C16" s="9" t="inlineStr">
        <is>
          <t>Electrónica</t>
        </is>
      </c>
      <c r="D16" s="10" t="n">
        <v>14708</v>
      </c>
      <c r="E16" s="18" t="n">
        <v>86</v>
      </c>
      <c r="F16" s="17" t="inlineStr">
        <is>
          <t>mexico</t>
        </is>
      </c>
      <c r="G16" s="9" t="inlineStr">
        <is>
          <t>Global Audio SA</t>
        </is>
      </c>
      <c r="H16" s="17" t="inlineStr">
        <is>
          <t>2026-03-05</t>
        </is>
      </c>
      <c r="I16" s="17">
        <f>IF(ISBLANK(E16), "Sin Verificar", IF(E16=0, "Agotado", IF(E16&lt;=15, "Bajo Stock", "Disponible")))</f>
        <v/>
      </c>
      <c r="J16" s="10">
        <f>IF(ISBLANK(E16), 0, D16*E16)</f>
        <v/>
      </c>
    </row>
    <row r="17" ht="20" customHeight="1">
      <c r="A17" s="13" t="inlineStr">
        <is>
          <t>PROD-5015</t>
        </is>
      </c>
      <c r="B17" s="14" t="inlineStr">
        <is>
          <t>Consola Nexus X - Enterprise</t>
        </is>
      </c>
      <c r="C17" s="14" t="inlineStr">
        <is>
          <t>Electrónica</t>
        </is>
      </c>
      <c r="D17" s="15" t="n">
        <v>23087</v>
      </c>
      <c r="E17" s="16" t="n">
        <v>94</v>
      </c>
      <c r="F17" s="13" t="inlineStr">
        <is>
          <t>mexico</t>
        </is>
      </c>
      <c r="G17" s="14" t="inlineStr">
        <is>
          <t>LogiTech Dist.</t>
        </is>
      </c>
      <c r="H17" s="13" t="inlineStr">
        <is>
          <t>2026-03-05</t>
        </is>
      </c>
      <c r="I17" s="13">
        <f>IF(ISBLANK(E17), "Sin Verificar", IF(E17=0, "Agotado", IF(E17&lt;=15, "Bajo Stock", "Disponible")))</f>
        <v/>
      </c>
      <c r="J17" s="15">
        <f>IF(ISBLANK(E17), 0, D17*E17)</f>
        <v/>
      </c>
    </row>
    <row r="18" ht="20" customHeight="1">
      <c r="A18" s="17" t="inlineStr">
        <is>
          <t>PROD-5016</t>
        </is>
      </c>
      <c r="B18" s="9" t="inlineStr">
        <is>
          <t>Smartwatch Fit - Estándar</t>
        </is>
      </c>
      <c r="C18" s="9" t="inlineStr">
        <is>
          <t>Electrónica</t>
        </is>
      </c>
      <c r="D18" s="10" t="n">
        <v>11914</v>
      </c>
      <c r="E18" s="18" t="n">
        <v>113</v>
      </c>
      <c r="F18" s="17" t="inlineStr">
        <is>
          <t>mexico</t>
        </is>
      </c>
      <c r="G18" s="9" t="inlineStr">
        <is>
          <t>LogiTech Dist.</t>
        </is>
      </c>
      <c r="H18" s="17" t="inlineStr">
        <is>
          <t>2026-04-11</t>
        </is>
      </c>
      <c r="I18" s="17">
        <f>IF(ISBLANK(E18), "Sin Verificar", IF(E18=0, "Agotado", IF(E18&lt;=15, "Bajo Stock", "Disponible")))</f>
        <v/>
      </c>
      <c r="J18" s="10">
        <f>IF(ISBLANK(E18), 0, D18*E18)</f>
        <v/>
      </c>
    </row>
    <row r="19" ht="20" customHeight="1">
      <c r="A19" s="13" t="inlineStr">
        <is>
          <t>PROD-5017</t>
        </is>
      </c>
      <c r="B19" s="14" t="inlineStr">
        <is>
          <t>Smartwatch Fit - Pro</t>
        </is>
      </c>
      <c r="C19" s="14" t="inlineStr">
        <is>
          <t>Electrónica</t>
        </is>
      </c>
      <c r="D19" s="15" t="n">
        <v>24949</v>
      </c>
      <c r="E19" s="16" t="n">
        <v>59</v>
      </c>
      <c r="F19" s="13" t="inlineStr">
        <is>
          <t>México</t>
        </is>
      </c>
      <c r="G19" s="14" t="inlineStr">
        <is>
          <t>LogiTech Dist.</t>
        </is>
      </c>
      <c r="H19" s="13" t="inlineStr">
        <is>
          <t>2025-11-29</t>
        </is>
      </c>
      <c r="I19" s="13">
        <f>IF(ISBLANK(E19), "Sin Verificar", IF(E19=0, "Agotado", IF(E19&lt;=15, "Bajo Stock", "Disponible")))</f>
        <v/>
      </c>
      <c r="J19" s="15">
        <f>IF(ISBLANK(E19), 0, D19*E19)</f>
        <v/>
      </c>
    </row>
    <row r="20" ht="20" customHeight="1">
      <c r="A20" s="17" t="inlineStr">
        <is>
          <t>PROD-5018</t>
        </is>
      </c>
      <c r="B20" s="9" t="inlineStr">
        <is>
          <t>Smartwatch Fit - Enterprise</t>
        </is>
      </c>
      <c r="C20" s="9" t="inlineStr">
        <is>
          <t>Electrónica</t>
        </is>
      </c>
      <c r="D20" s="10" t="n">
        <v>27502</v>
      </c>
      <c r="E20" s="18" t="n">
        <v>119</v>
      </c>
      <c r="F20" s="17" t="inlineStr">
        <is>
          <t>mexico</t>
        </is>
      </c>
      <c r="G20" s="9" t="inlineStr">
        <is>
          <t>ElectroHogar Express</t>
        </is>
      </c>
      <c r="H20" s="17" t="inlineStr">
        <is>
          <t>2026-01-31</t>
        </is>
      </c>
      <c r="I20" s="17">
        <f>IF(ISBLANK(E20), "Sin Verificar", IF(E20=0, "Agotado", IF(E20&lt;=15, "Bajo Stock", "Disponible")))</f>
        <v/>
      </c>
      <c r="J20" s="10">
        <f>IF(ISBLANK(E20), 0, D20*E20)</f>
        <v/>
      </c>
    </row>
    <row r="21" ht="20" customHeight="1">
      <c r="A21" s="13" t="inlineStr">
        <is>
          <t>PROD-5019</t>
        </is>
      </c>
      <c r="B21" s="14" t="inlineStr">
        <is>
          <t>Auriculares ANC Pro - Estándar</t>
        </is>
      </c>
      <c r="C21" s="14" t="inlineStr">
        <is>
          <t>Audio</t>
        </is>
      </c>
      <c r="D21" s="15" t="n">
        <v>859</v>
      </c>
      <c r="E21" s="16" t="n">
        <v>67</v>
      </c>
      <c r="F21" s="13" t="inlineStr">
        <is>
          <t>México</t>
        </is>
      </c>
      <c r="G21" s="14" t="inlineStr">
        <is>
          <t>LogiTech Dist.</t>
        </is>
      </c>
      <c r="H21" s="13" t="inlineStr">
        <is>
          <t>2026-01-10</t>
        </is>
      </c>
      <c r="I21" s="13">
        <f>IF(ISBLANK(E21), "Sin Verificar", IF(E21=0, "Agotado", IF(E21&lt;=15, "Bajo Stock", "Disponible")))</f>
        <v/>
      </c>
      <c r="J21" s="15">
        <f>IF(ISBLANK(E21), 0, D21*E21)</f>
        <v/>
      </c>
    </row>
    <row r="22" ht="20" customHeight="1">
      <c r="A22" s="17" t="inlineStr">
        <is>
          <t>PROD-5020</t>
        </is>
      </c>
      <c r="B22" s="9" t="inlineStr">
        <is>
          <t>Auriculares ANC Pro - Pro</t>
        </is>
      </c>
      <c r="C22" s="9" t="inlineStr">
        <is>
          <t>Audio</t>
        </is>
      </c>
      <c r="D22" s="10" t="n">
        <v>2091</v>
      </c>
      <c r="E22" s="18" t="n">
        <v>83</v>
      </c>
      <c r="F22" s="17" t="inlineStr">
        <is>
          <t>mex</t>
        </is>
      </c>
      <c r="G22" s="9" t="inlineStr">
        <is>
          <t>LogiTech Dist.</t>
        </is>
      </c>
      <c r="H22" s="17" t="inlineStr">
        <is>
          <t>2026-05-09</t>
        </is>
      </c>
      <c r="I22" s="17">
        <f>IF(ISBLANK(E22), "Sin Verificar", IF(E22=0, "Agotado", IF(E22&lt;=15, "Bajo Stock", "Disponible")))</f>
        <v/>
      </c>
      <c r="J22" s="10">
        <f>IF(ISBLANK(E22), 0, D22*E22)</f>
        <v/>
      </c>
    </row>
    <row r="23" ht="20" customHeight="1">
      <c r="A23" s="13" t="inlineStr">
        <is>
          <t>PROD-5021</t>
        </is>
      </c>
      <c r="B23" s="14" t="inlineStr">
        <is>
          <t>Auriculares ANC Pro - Enterprise</t>
        </is>
      </c>
      <c r="C23" s="14" t="inlineStr">
        <is>
          <t>Audio</t>
        </is>
      </c>
      <c r="D23" s="15" t="n">
        <v>5086</v>
      </c>
      <c r="E23" s="16" t="n">
        <v>50</v>
      </c>
      <c r="F23" s="13" t="inlineStr">
        <is>
          <t>mexico</t>
        </is>
      </c>
      <c r="G23" s="14" t="inlineStr">
        <is>
          <t>LogiTech Dist.</t>
        </is>
      </c>
      <c r="H23" s="13" t="inlineStr">
        <is>
          <t>2025-07-28</t>
        </is>
      </c>
      <c r="I23" s="13">
        <f>IF(ISBLANK(E23), "Sin Verificar", IF(E23=0, "Agotado", IF(E23&lt;=15, "Bajo Stock", "Disponible")))</f>
        <v/>
      </c>
      <c r="J23" s="15">
        <f>IF(ISBLANK(E23), 0, D23*E23)</f>
        <v/>
      </c>
    </row>
    <row r="24" ht="20" customHeight="1">
      <c r="A24" s="17" t="inlineStr">
        <is>
          <t>PROD-5022</t>
        </is>
      </c>
      <c r="B24" s="9" t="inlineStr">
        <is>
          <t>Barra de Sonido 7.1 - Estándar</t>
        </is>
      </c>
      <c r="C24" s="9" t="inlineStr">
        <is>
          <t>Audio</t>
        </is>
      </c>
      <c r="D24" s="10" t="n">
        <v>1778</v>
      </c>
      <c r="E24" s="18" t="n">
        <v>30</v>
      </c>
      <c r="F24" s="17" t="inlineStr">
        <is>
          <t>mexico</t>
        </is>
      </c>
      <c r="G24" s="9" t="inlineStr">
        <is>
          <t>TechImports MX</t>
        </is>
      </c>
      <c r="H24" s="17" t="inlineStr">
        <is>
          <t>2026-02-04</t>
        </is>
      </c>
      <c r="I24" s="17">
        <f>IF(ISBLANK(E24), "Sin Verificar", IF(E24=0, "Agotado", IF(E24&lt;=15, "Bajo Stock", "Disponible")))</f>
        <v/>
      </c>
      <c r="J24" s="10">
        <f>IF(ISBLANK(E24), 0, D24*E24)</f>
        <v/>
      </c>
    </row>
    <row r="25" ht="20" customHeight="1">
      <c r="A25" s="13" t="inlineStr">
        <is>
          <t>PROD-5023</t>
        </is>
      </c>
      <c r="B25" s="14" t="inlineStr">
        <is>
          <t>Barra de Sonido 7.1 - Pro</t>
        </is>
      </c>
      <c r="C25" s="14" t="inlineStr">
        <is>
          <t>Audio</t>
        </is>
      </c>
      <c r="D25" s="15" t="n">
        <v>3819</v>
      </c>
      <c r="E25" s="16" t="n">
        <v>68</v>
      </c>
      <c r="F25" s="13" t="inlineStr">
        <is>
          <t>MX</t>
        </is>
      </c>
      <c r="G25" s="14" t="inlineStr">
        <is>
          <t>Muebles del Norte</t>
        </is>
      </c>
      <c r="H25" s="13" t="inlineStr">
        <is>
          <t>2026-03-08</t>
        </is>
      </c>
      <c r="I25" s="13">
        <f>IF(ISBLANK(E25), "Sin Verificar", IF(E25=0, "Agotado", IF(E25&lt;=15, "Bajo Stock", "Disponible")))</f>
        <v/>
      </c>
      <c r="J25" s="15">
        <f>IF(ISBLANK(E25), 0, D25*E25)</f>
        <v/>
      </c>
    </row>
    <row r="26" ht="20" customHeight="1">
      <c r="A26" s="17" t="inlineStr">
        <is>
          <t>PROD-5024</t>
        </is>
      </c>
      <c r="B26" s="9" t="inlineStr">
        <is>
          <t>Barra de Sonido 7.1 - Enterprise</t>
        </is>
      </c>
      <c r="C26" s="9" t="inlineStr">
        <is>
          <t>Audio</t>
        </is>
      </c>
      <c r="D26" s="10" t="n">
        <v>3085</v>
      </c>
      <c r="E26" s="18" t="n">
        <v>86</v>
      </c>
      <c r="F26" s="17" t="inlineStr">
        <is>
          <t>mexico</t>
        </is>
      </c>
      <c r="G26" s="9" t="inlineStr">
        <is>
          <t>LogiTech Dist.</t>
        </is>
      </c>
      <c r="H26" s="17" t="inlineStr">
        <is>
          <t>2025-10-22</t>
        </is>
      </c>
      <c r="I26" s="17">
        <f>IF(ISBLANK(E26), "Sin Verificar", IF(E26=0, "Agotado", IF(E26&lt;=15, "Bajo Stock", "Disponible")))</f>
        <v/>
      </c>
      <c r="J26" s="10">
        <f>IF(ISBLANK(E26), 0, D26*E26)</f>
        <v/>
      </c>
    </row>
    <row r="27" ht="20" customHeight="1">
      <c r="A27" s="13" t="inlineStr">
        <is>
          <t>PROD-5025</t>
        </is>
      </c>
      <c r="B27" s="14" t="inlineStr">
        <is>
          <t>Micrófono Studio USB - Estándar</t>
        </is>
      </c>
      <c r="C27" s="14" t="inlineStr">
        <is>
          <t>Audio</t>
        </is>
      </c>
      <c r="D27" s="15" t="n">
        <v>3451</v>
      </c>
      <c r="E27" s="16" t="n">
        <v>28</v>
      </c>
      <c r="F27" s="13" t="inlineStr">
        <is>
          <t>mex</t>
        </is>
      </c>
      <c r="G27" s="14" t="inlineStr">
        <is>
          <t>LogiTech Dist.</t>
        </is>
      </c>
      <c r="H27" s="13" t="inlineStr">
        <is>
          <t>2026-03-01</t>
        </is>
      </c>
      <c r="I27" s="13">
        <f>IF(ISBLANK(E27), "Sin Verificar", IF(E27=0, "Agotado", IF(E27&lt;=15, "Bajo Stock", "Disponible")))</f>
        <v/>
      </c>
      <c r="J27" s="15">
        <f>IF(ISBLANK(E27), 0, D27*E27)</f>
        <v/>
      </c>
    </row>
    <row r="28" ht="20" customHeight="1">
      <c r="A28" s="17" t="inlineStr">
        <is>
          <t>PROD-5026</t>
        </is>
      </c>
      <c r="B28" s="9" t="inlineStr">
        <is>
          <t>Micrófono Studio USB - Pro</t>
        </is>
      </c>
      <c r="C28" s="9" t="inlineStr">
        <is>
          <t>Audio</t>
        </is>
      </c>
      <c r="D28" s="10" t="n">
        <v>1345</v>
      </c>
      <c r="E28" s="18" t="n">
        <v>43</v>
      </c>
      <c r="F28" s="17" t="inlineStr">
        <is>
          <t>MX</t>
        </is>
      </c>
      <c r="G28" s="9" t="inlineStr">
        <is>
          <t>Global Audio SA</t>
        </is>
      </c>
      <c r="H28" s="17" t="inlineStr">
        <is>
          <t>2025-09-28</t>
        </is>
      </c>
      <c r="I28" s="17">
        <f>IF(ISBLANK(E28), "Sin Verificar", IF(E28=0, "Agotado", IF(E28&lt;=15, "Bajo Stock", "Disponible")))</f>
        <v/>
      </c>
      <c r="J28" s="10">
        <f>IF(ISBLANK(E28), 0, D28*E28)</f>
        <v/>
      </c>
    </row>
    <row r="29" ht="20" customHeight="1">
      <c r="A29" s="13" t="inlineStr">
        <is>
          <t>PROD-5027</t>
        </is>
      </c>
      <c r="B29" s="14" t="inlineStr">
        <is>
          <t>Micrófono Studio USB - Enterprise</t>
        </is>
      </c>
      <c r="C29" s="14" t="inlineStr">
        <is>
          <t>Audio</t>
        </is>
      </c>
      <c r="D29" s="15" t="n">
        <v>5390</v>
      </c>
      <c r="E29" s="16" t="n">
        <v>85</v>
      </c>
      <c r="F29" s="13" t="inlineStr">
        <is>
          <t>México</t>
        </is>
      </c>
      <c r="G29" s="14" t="inlineStr">
        <is>
          <t>TechImports MX</t>
        </is>
      </c>
      <c r="H29" s="13" t="inlineStr">
        <is>
          <t>2025-08-26</t>
        </is>
      </c>
      <c r="I29" s="13">
        <f>IF(ISBLANK(E29), "Sin Verificar", IF(E29=0, "Agotado", IF(E29&lt;=15, "Bajo Stock", "Disponible")))</f>
        <v/>
      </c>
      <c r="J29" s="15">
        <f>IF(ISBLANK(E29), 0, D29*E29)</f>
        <v/>
      </c>
    </row>
    <row r="30" ht="20" customHeight="1">
      <c r="A30" s="17" t="inlineStr">
        <is>
          <t>PROD-5028</t>
        </is>
      </c>
      <c r="B30" s="9" t="inlineStr">
        <is>
          <t>Altavoz Exterior Waterproof - Estándar</t>
        </is>
      </c>
      <c r="C30" s="9" t="inlineStr">
        <is>
          <t>Audio</t>
        </is>
      </c>
      <c r="D30" s="10" t="n">
        <v>1255</v>
      </c>
      <c r="E30" s="18" t="n">
        <v>16</v>
      </c>
      <c r="F30" s="17" t="inlineStr">
        <is>
          <t>México</t>
        </is>
      </c>
      <c r="G30" s="9" t="inlineStr">
        <is>
          <t>Muebles del Norte</t>
        </is>
      </c>
      <c r="H30" s="17" t="inlineStr">
        <is>
          <t>2025-12-13</t>
        </is>
      </c>
      <c r="I30" s="17">
        <f>IF(ISBLANK(E30), "Sin Verificar", IF(E30=0, "Agotado", IF(E30&lt;=15, "Bajo Stock", "Disponible")))</f>
        <v/>
      </c>
      <c r="J30" s="10">
        <f>IF(ISBLANK(E30), 0, D30*E30)</f>
        <v/>
      </c>
    </row>
    <row r="31" ht="20" customHeight="1">
      <c r="A31" s="13" t="inlineStr">
        <is>
          <t>PROD-5029</t>
        </is>
      </c>
      <c r="B31" s="14" t="inlineStr">
        <is>
          <t>Altavoz Exterior Waterproof - Pro</t>
        </is>
      </c>
      <c r="C31" s="14" t="inlineStr">
        <is>
          <t>Audio</t>
        </is>
      </c>
      <c r="D31" s="15" t="n">
        <v>4602</v>
      </c>
      <c r="E31" s="16" t="n">
        <v>32</v>
      </c>
      <c r="F31" s="13" t="inlineStr">
        <is>
          <t>mexico</t>
        </is>
      </c>
      <c r="G31" s="14" t="inlineStr">
        <is>
          <t>ElectroHogar Express</t>
        </is>
      </c>
      <c r="H31" s="13" t="inlineStr">
        <is>
          <t>2026-01-31</t>
        </is>
      </c>
      <c r="I31" s="13">
        <f>IF(ISBLANK(E31), "Sin Verificar", IF(E31=0, "Agotado", IF(E31&lt;=15, "Bajo Stock", "Disponible")))</f>
        <v/>
      </c>
      <c r="J31" s="15">
        <f>IF(ISBLANK(E31), 0, D31*E31)</f>
        <v/>
      </c>
    </row>
    <row r="32" ht="20" customHeight="1">
      <c r="A32" s="17" t="inlineStr">
        <is>
          <t>PROD-5030</t>
        </is>
      </c>
      <c r="B32" s="9" t="inlineStr">
        <is>
          <t>Altavoz Exterior Waterproof - Enterprise</t>
        </is>
      </c>
      <c r="C32" s="9" t="inlineStr">
        <is>
          <t>Audio</t>
        </is>
      </c>
      <c r="D32" s="10" t="n">
        <v>2747</v>
      </c>
      <c r="E32" s="18" t="n">
        <v/>
      </c>
      <c r="F32" s="17" t="inlineStr">
        <is>
          <t>MX</t>
        </is>
      </c>
      <c r="G32" s="9" t="inlineStr">
        <is>
          <t>ElectroHogar Express</t>
        </is>
      </c>
      <c r="H32" s="17" t="inlineStr">
        <is>
          <t>2025-11-21</t>
        </is>
      </c>
      <c r="I32" s="17">
        <f>IF(ISBLANK(E32), "Sin Verificar", IF(E32=0, "Agotado", IF(E32&lt;=15, "Bajo Stock", "Disponible")))</f>
        <v/>
      </c>
      <c r="J32" s="10">
        <f>IF(ISBLANK(E32), 0, D32*E32)</f>
        <v/>
      </c>
    </row>
    <row r="33" ht="20" customHeight="1">
      <c r="A33" s="13" t="inlineStr">
        <is>
          <t>PROD-5031</t>
        </is>
      </c>
      <c r="B33" s="14" t="inlineStr">
        <is>
          <t>Teclado Mecánico Pro - Estándar</t>
        </is>
      </c>
      <c r="C33" s="14" t="inlineStr">
        <is>
          <t>Accesorios</t>
        </is>
      </c>
      <c r="D33" s="15" t="n">
        <v>2196</v>
      </c>
      <c r="E33" s="16" t="n">
        <v>85</v>
      </c>
      <c r="F33" s="13" t="inlineStr">
        <is>
          <t>mex</t>
        </is>
      </c>
      <c r="G33" s="14" t="inlineStr">
        <is>
          <t>ElectroHogar Express</t>
        </is>
      </c>
      <c r="H33" s="13" t="inlineStr">
        <is>
          <t>2026-04-28</t>
        </is>
      </c>
      <c r="I33" s="13">
        <f>IF(ISBLANK(E33), "Sin Verificar", IF(E33=0, "Agotado", IF(E33&lt;=15, "Bajo Stock", "Disponible")))</f>
        <v/>
      </c>
      <c r="J33" s="15">
        <f>IF(ISBLANK(E33), 0, D33*E33)</f>
        <v/>
      </c>
    </row>
    <row r="34" ht="20" customHeight="1">
      <c r="A34" s="17" t="inlineStr">
        <is>
          <t>PROD-5032</t>
        </is>
      </c>
      <c r="B34" s="9" t="inlineStr">
        <is>
          <t>Teclado Mecánico Pro - Pro</t>
        </is>
      </c>
      <c r="C34" s="9" t="inlineStr">
        <is>
          <t>Accesorios</t>
        </is>
      </c>
      <c r="D34" s="10" t="n">
        <v>3959</v>
      </c>
      <c r="E34" s="18" t="n">
        <v>118</v>
      </c>
      <c r="F34" s="17" t="inlineStr">
        <is>
          <t>MX</t>
        </is>
      </c>
      <c r="G34" s="9" t="inlineStr">
        <is>
          <t>ElectroHogar Express</t>
        </is>
      </c>
      <c r="H34" s="17" t="inlineStr">
        <is>
          <t>2025-10-17</t>
        </is>
      </c>
      <c r="I34" s="17">
        <f>IF(ISBLANK(E34), "Sin Verificar", IF(E34=0, "Agotado", IF(E34&lt;=15, "Bajo Stock", "Disponible")))</f>
        <v/>
      </c>
      <c r="J34" s="10">
        <f>IF(ISBLANK(E34), 0, D34*E34)</f>
        <v/>
      </c>
    </row>
    <row r="35" ht="20" customHeight="1">
      <c r="A35" s="13" t="inlineStr">
        <is>
          <t>PROD-5033</t>
        </is>
      </c>
      <c r="B35" s="14" t="inlineStr">
        <is>
          <t>Teclado Mecánico Pro - Enterprise</t>
        </is>
      </c>
      <c r="C35" s="14" t="inlineStr">
        <is>
          <t>Accesorios</t>
        </is>
      </c>
      <c r="D35" s="15" t="n">
        <v>5326</v>
      </c>
      <c r="E35" s="16" t="n">
        <v>35</v>
      </c>
      <c r="F35" s="13" t="inlineStr">
        <is>
          <t>mex</t>
        </is>
      </c>
      <c r="G35" s="14" t="inlineStr">
        <is>
          <t>LogiTech Dist.</t>
        </is>
      </c>
      <c r="H35" s="13" t="inlineStr">
        <is>
          <t>2025-09-08</t>
        </is>
      </c>
      <c r="I35" s="13">
        <f>IF(ISBLANK(E35), "Sin Verificar", IF(E35=0, "Agotado", IF(E35&lt;=15, "Bajo Stock", "Disponible")))</f>
        <v/>
      </c>
      <c r="J35" s="15">
        <f>IF(ISBLANK(E35), 0, D35*E35)</f>
        <v/>
      </c>
    </row>
    <row r="36" ht="20" customHeight="1">
      <c r="A36" s="17" t="inlineStr">
        <is>
          <t>PROD-5034</t>
        </is>
      </c>
      <c r="B36" s="9" t="inlineStr">
        <is>
          <t>Mouse Óptico Ergo - Estándar</t>
        </is>
      </c>
      <c r="C36" s="9" t="inlineStr">
        <is>
          <t>Accesorios</t>
        </is>
      </c>
      <c r="D36" s="10" t="n">
        <v>545</v>
      </c>
      <c r="E36" s="18" t="n">
        <v>88</v>
      </c>
      <c r="F36" s="17" t="inlineStr">
        <is>
          <t>MX</t>
        </is>
      </c>
      <c r="G36" s="9" t="inlineStr">
        <is>
          <t>TechImports MX</t>
        </is>
      </c>
      <c r="H36" s="17" t="inlineStr">
        <is>
          <t>2026-04-01</t>
        </is>
      </c>
      <c r="I36" s="17">
        <f>IF(ISBLANK(E36), "Sin Verificar", IF(E36=0, "Agotado", IF(E36&lt;=15, "Bajo Stock", "Disponible")))</f>
        <v/>
      </c>
      <c r="J36" s="10">
        <f>IF(ISBLANK(E36), 0, D36*E36)</f>
        <v/>
      </c>
    </row>
    <row r="37" ht="20" customHeight="1">
      <c r="A37" s="13" t="inlineStr">
        <is>
          <t>PROD-5035</t>
        </is>
      </c>
      <c r="B37" s="14" t="inlineStr">
        <is>
          <t>Mouse Óptico Ergo - Pro</t>
        </is>
      </c>
      <c r="C37" s="14" t="inlineStr">
        <is>
          <t>Accesorios</t>
        </is>
      </c>
      <c r="D37" s="15" t="n">
        <v>3026</v>
      </c>
      <c r="E37" s="16" t="n">
        <v>43</v>
      </c>
      <c r="F37" s="13" t="inlineStr">
        <is>
          <t>MX</t>
        </is>
      </c>
      <c r="G37" s="14" t="inlineStr">
        <is>
          <t>ElectroHogar Express</t>
        </is>
      </c>
      <c r="H37" s="13" t="inlineStr">
        <is>
          <t>2026-03-01</t>
        </is>
      </c>
      <c r="I37" s="13">
        <f>IF(ISBLANK(E37), "Sin Verificar", IF(E37=0, "Agotado", IF(E37&lt;=15, "Bajo Stock", "Disponible")))</f>
        <v/>
      </c>
      <c r="J37" s="15">
        <f>IF(ISBLANK(E37), 0, D37*E37)</f>
        <v/>
      </c>
    </row>
    <row r="38" ht="20" customHeight="1">
      <c r="A38" s="17" t="inlineStr">
        <is>
          <t>PROD-5036</t>
        </is>
      </c>
      <c r="B38" s="9" t="inlineStr">
        <is>
          <t>Mouse Óptico Ergo - Enterprise</t>
        </is>
      </c>
      <c r="C38" s="9" t="inlineStr">
        <is>
          <t>Accesorios</t>
        </is>
      </c>
      <c r="D38" s="10" t="n">
        <v>5649</v>
      </c>
      <c r="E38" s="18" t="n">
        <v>53</v>
      </c>
      <c r="F38" s="17" t="inlineStr">
        <is>
          <t>MX</t>
        </is>
      </c>
      <c r="G38" s="9" t="inlineStr">
        <is>
          <t>Muebles del Norte</t>
        </is>
      </c>
      <c r="H38" s="17" t="inlineStr">
        <is>
          <t>2026-01-13</t>
        </is>
      </c>
      <c r="I38" s="17">
        <f>IF(ISBLANK(E38), "Sin Verificar", IF(E38=0, "Agotado", IF(E38&lt;=15, "Bajo Stock", "Disponible")))</f>
        <v/>
      </c>
      <c r="J38" s="10">
        <f>IF(ISBLANK(E38), 0, D38*E38)</f>
        <v/>
      </c>
    </row>
    <row r="39" ht="20" customHeight="1">
      <c r="A39" s="13" t="inlineStr">
        <is>
          <t>PROD-5037</t>
        </is>
      </c>
      <c r="B39" s="14" t="inlineStr">
        <is>
          <t>Hub Multi-puerto USB-C - Estándar</t>
        </is>
      </c>
      <c r="C39" s="14" t="inlineStr">
        <is>
          <t>Accesorios</t>
        </is>
      </c>
      <c r="D39" s="15" t="n">
        <v>1287</v>
      </c>
      <c r="E39" s="16" t="n">
        <v>82</v>
      </c>
      <c r="F39" s="13" t="inlineStr">
        <is>
          <t>MX</t>
        </is>
      </c>
      <c r="G39" s="14" t="inlineStr">
        <is>
          <t>Global Audio SA</t>
        </is>
      </c>
      <c r="H39" s="13" t="inlineStr">
        <is>
          <t>2026-01-17</t>
        </is>
      </c>
      <c r="I39" s="13">
        <f>IF(ISBLANK(E39), "Sin Verificar", IF(E39=0, "Agotado", IF(E39&lt;=15, "Bajo Stock", "Disponible")))</f>
        <v/>
      </c>
      <c r="J39" s="15">
        <f>IF(ISBLANK(E39), 0, D39*E39)</f>
        <v/>
      </c>
    </row>
    <row r="40" ht="20" customHeight="1">
      <c r="A40" s="17" t="inlineStr">
        <is>
          <t>PROD-5038</t>
        </is>
      </c>
      <c r="B40" s="9" t="inlineStr">
        <is>
          <t>Hub Multi-puerto USB-C - Pro</t>
        </is>
      </c>
      <c r="C40" s="9" t="inlineStr">
        <is>
          <t>Accesorios</t>
        </is>
      </c>
      <c r="D40" s="10" t="n">
        <v>4140</v>
      </c>
      <c r="E40" s="18" t="n">
        <v>20</v>
      </c>
      <c r="F40" s="17" t="inlineStr">
        <is>
          <t>mex</t>
        </is>
      </c>
      <c r="G40" s="9" t="inlineStr">
        <is>
          <t>Global Audio SA</t>
        </is>
      </c>
      <c r="H40" s="17" t="inlineStr">
        <is>
          <t>2025-09-28</t>
        </is>
      </c>
      <c r="I40" s="17">
        <f>IF(ISBLANK(E40), "Sin Verificar", IF(E40=0, "Agotado", IF(E40&lt;=15, "Bajo Stock", "Disponible")))</f>
        <v/>
      </c>
      <c r="J40" s="10">
        <f>IF(ISBLANK(E40), 0, D40*E40)</f>
        <v/>
      </c>
    </row>
    <row r="41" ht="20" customHeight="1">
      <c r="A41" s="13" t="inlineStr">
        <is>
          <t>PROD-5039</t>
        </is>
      </c>
      <c r="B41" s="14" t="inlineStr">
        <is>
          <t>Hub Multi-puerto USB-C - Enterprise</t>
        </is>
      </c>
      <c r="C41" s="14" t="inlineStr">
        <is>
          <t>Accesorios</t>
        </is>
      </c>
      <c r="D41" s="15" t="n">
        <v>941</v>
      </c>
      <c r="E41" s="16" t="n">
        <v>24</v>
      </c>
      <c r="F41" s="13" t="inlineStr">
        <is>
          <t>mex</t>
        </is>
      </c>
      <c r="G41" s="14" t="inlineStr">
        <is>
          <t>TechImports MX</t>
        </is>
      </c>
      <c r="H41" s="13" t="inlineStr">
        <is>
          <t>2026-03-23</t>
        </is>
      </c>
      <c r="I41" s="13">
        <f>IF(ISBLANK(E41), "Sin Verificar", IF(E41=0, "Agotado", IF(E41&lt;=15, "Bajo Stock", "Disponible")))</f>
        <v/>
      </c>
      <c r="J41" s="15">
        <f>IF(ISBLANK(E41), 0, D41*E41)</f>
        <v/>
      </c>
    </row>
    <row r="42" ht="20" customHeight="1">
      <c r="A42" s="17" t="inlineStr">
        <is>
          <t>PROD-5040</t>
        </is>
      </c>
      <c r="B42" s="9" t="inlineStr">
        <is>
          <t>Cargador GaN 100W - Estándar</t>
        </is>
      </c>
      <c r="C42" s="9" t="inlineStr">
        <is>
          <t>Accesorios</t>
        </is>
      </c>
      <c r="D42" s="10" t="n">
        <v>2560</v>
      </c>
      <c r="E42" s="18" t="n">
        <v/>
      </c>
      <c r="F42" s="17" t="inlineStr">
        <is>
          <t>mex</t>
        </is>
      </c>
      <c r="G42" s="9" t="inlineStr">
        <is>
          <t>ElectroHogar Express</t>
        </is>
      </c>
      <c r="H42" s="17" t="inlineStr">
        <is>
          <t>2025-07-24</t>
        </is>
      </c>
      <c r="I42" s="17">
        <f>IF(ISBLANK(E42), "Sin Verificar", IF(E42=0, "Agotado", IF(E42&lt;=15, "Bajo Stock", "Disponible")))</f>
        <v/>
      </c>
      <c r="J42" s="10">
        <f>IF(ISBLANK(E42), 0, D42*E42)</f>
        <v/>
      </c>
    </row>
    <row r="43" ht="20" customHeight="1">
      <c r="A43" s="13" t="inlineStr">
        <is>
          <t>PROD-5041</t>
        </is>
      </c>
      <c r="B43" s="14" t="inlineStr">
        <is>
          <t>Cargador GaN 100W - Pro</t>
        </is>
      </c>
      <c r="C43" s="14" t="inlineStr">
        <is>
          <t>Accesorios</t>
        </is>
      </c>
      <c r="D43" s="15" t="n">
        <v>1251</v>
      </c>
      <c r="E43" s="20" t="n">
        <v>14</v>
      </c>
      <c r="F43" s="13" t="inlineStr">
        <is>
          <t>MX</t>
        </is>
      </c>
      <c r="G43" s="14" t="inlineStr">
        <is>
          <t>TechImports MX</t>
        </is>
      </c>
      <c r="H43" s="13" t="inlineStr">
        <is>
          <t>2025-09-28</t>
        </is>
      </c>
      <c r="I43" s="13">
        <f>IF(ISBLANK(E43), "Sin Verificar", IF(E43=0, "Agotado", IF(E43&lt;=15, "Bajo Stock", "Disponible")))</f>
        <v/>
      </c>
      <c r="J43" s="15">
        <f>IF(ISBLANK(E43), 0, D43*E43)</f>
        <v/>
      </c>
    </row>
    <row r="44" ht="20" customHeight="1">
      <c r="A44" s="17" t="inlineStr">
        <is>
          <t>PROD-5042</t>
        </is>
      </c>
      <c r="B44" s="9" t="inlineStr">
        <is>
          <t>Cargador GaN 100W - Enterprise</t>
        </is>
      </c>
      <c r="C44" s="9" t="inlineStr">
        <is>
          <t>Accesorios</t>
        </is>
      </c>
      <c r="D44" s="10" t="n">
        <v>4652</v>
      </c>
      <c r="E44" s="18" t="n">
        <v>91</v>
      </c>
      <c r="F44" s="17" t="inlineStr">
        <is>
          <t>MX</t>
        </is>
      </c>
      <c r="G44" s="9" t="inlineStr">
        <is>
          <t>ElectroHogar Express</t>
        </is>
      </c>
      <c r="H44" s="17" t="inlineStr">
        <is>
          <t>2025-12-26</t>
        </is>
      </c>
      <c r="I44" s="17">
        <f>IF(ISBLANK(E44), "Sin Verificar", IF(E44=0, "Agotado", IF(E44&lt;=15, "Bajo Stock", "Disponible")))</f>
        <v/>
      </c>
      <c r="J44" s="10">
        <f>IF(ISBLANK(E44), 0, D44*E44)</f>
        <v/>
      </c>
    </row>
    <row r="45" ht="20" customHeight="1">
      <c r="A45" s="13" t="inlineStr">
        <is>
          <t>PROD-5043</t>
        </is>
      </c>
      <c r="B45" s="14" t="inlineStr">
        <is>
          <t>Mochila Ejecutiva Tech - Estándar</t>
        </is>
      </c>
      <c r="C45" s="14" t="inlineStr">
        <is>
          <t>Accesorios</t>
        </is>
      </c>
      <c r="D45" s="15" t="n">
        <v>3487</v>
      </c>
      <c r="E45" s="16" t="n">
        <v>17</v>
      </c>
      <c r="F45" s="13" t="inlineStr">
        <is>
          <t>MX</t>
        </is>
      </c>
      <c r="G45" s="14" t="inlineStr">
        <is>
          <t>TechImports MX</t>
        </is>
      </c>
      <c r="H45" s="13" t="inlineStr">
        <is>
          <t>2025-12-19</t>
        </is>
      </c>
      <c r="I45" s="13">
        <f>IF(ISBLANK(E45), "Sin Verificar", IF(E45=0, "Agotado", IF(E45&lt;=15, "Bajo Stock", "Disponible")))</f>
        <v/>
      </c>
      <c r="J45" s="15">
        <f>IF(ISBLANK(E45), 0, D45*E45)</f>
        <v/>
      </c>
    </row>
    <row r="46" ht="20" customHeight="1">
      <c r="A46" s="17" t="inlineStr">
        <is>
          <t>PROD-5044</t>
        </is>
      </c>
      <c r="B46" s="9" t="inlineStr">
        <is>
          <t>Mochila Ejecutiva Tech - Pro</t>
        </is>
      </c>
      <c r="C46" s="9" t="inlineStr">
        <is>
          <t>Accesorios</t>
        </is>
      </c>
      <c r="D46" s="10" t="n">
        <v>881</v>
      </c>
      <c r="E46" s="20" t="n">
        <v>12</v>
      </c>
      <c r="F46" s="17" t="inlineStr">
        <is>
          <t>mex</t>
        </is>
      </c>
      <c r="G46" s="9" t="inlineStr">
        <is>
          <t>ElectroHogar Express</t>
        </is>
      </c>
      <c r="H46" s="17" t="inlineStr">
        <is>
          <t>2026-02-20</t>
        </is>
      </c>
      <c r="I46" s="17">
        <f>IF(ISBLANK(E46), "Sin Verificar", IF(E46=0, "Agotado", IF(E46&lt;=15, "Bajo Stock", "Disponible")))</f>
        <v/>
      </c>
      <c r="J46" s="10">
        <f>IF(ISBLANK(E46), 0, D46*E46)</f>
        <v/>
      </c>
    </row>
    <row r="47" ht="20" customHeight="1">
      <c r="A47" s="13" t="inlineStr">
        <is>
          <t>PROD-5045</t>
        </is>
      </c>
      <c r="B47" s="14" t="inlineStr">
        <is>
          <t>Mochila Ejecutiva Tech - Enterprise</t>
        </is>
      </c>
      <c r="C47" s="14" t="inlineStr">
        <is>
          <t>Accesorios</t>
        </is>
      </c>
      <c r="D47" s="15" t="n">
        <v>5246</v>
      </c>
      <c r="E47" s="16" t="n">
        <v>71</v>
      </c>
      <c r="F47" s="13" t="inlineStr">
        <is>
          <t>México</t>
        </is>
      </c>
      <c r="G47" s="14" t="inlineStr">
        <is>
          <t>Global Audio SA</t>
        </is>
      </c>
      <c r="H47" s="13" t="inlineStr">
        <is>
          <t>2026-04-29</t>
        </is>
      </c>
      <c r="I47" s="13">
        <f>IF(ISBLANK(E47), "Sin Verificar", IF(E47=0, "Agotado", IF(E47&lt;=15, "Bajo Stock", "Disponible")))</f>
        <v/>
      </c>
      <c r="J47" s="15">
        <f>IF(ISBLANK(E47), 0, D47*E47)</f>
        <v/>
      </c>
    </row>
    <row r="48" ht="20" customHeight="1">
      <c r="A48" s="17" t="inlineStr">
        <is>
          <t>PROD-5046</t>
        </is>
      </c>
      <c r="B48" s="9" t="inlineStr">
        <is>
          <t>Silla Ergonómica Premium - Estándar</t>
        </is>
      </c>
      <c r="C48" s="9" t="inlineStr">
        <is>
          <t>Mobiliario</t>
        </is>
      </c>
      <c r="D48" s="10" t="n">
        <v>3997</v>
      </c>
      <c r="E48" s="18" t="n">
        <v>49</v>
      </c>
      <c r="F48" s="17" t="inlineStr">
        <is>
          <t>mexico</t>
        </is>
      </c>
      <c r="G48" s="9" t="inlineStr">
        <is>
          <t>Global Audio SA</t>
        </is>
      </c>
      <c r="H48" s="17" t="inlineStr">
        <is>
          <t>2026-01-11</t>
        </is>
      </c>
      <c r="I48" s="17">
        <f>IF(ISBLANK(E48), "Sin Verificar", IF(E48=0, "Agotado", IF(E48&lt;=15, "Bajo Stock", "Disponible")))</f>
        <v/>
      </c>
      <c r="J48" s="10">
        <f>IF(ISBLANK(E48), 0, D48*E48)</f>
        <v/>
      </c>
    </row>
    <row r="49" ht="20" customHeight="1">
      <c r="A49" s="13" t="inlineStr">
        <is>
          <t>PROD-5047</t>
        </is>
      </c>
      <c r="B49" s="14" t="inlineStr">
        <is>
          <t>Silla Ergonómica Premium - Pro</t>
        </is>
      </c>
      <c r="C49" s="14" t="inlineStr">
        <is>
          <t>Mobiliario</t>
        </is>
      </c>
      <c r="D49" s="15" t="n">
        <v>6536</v>
      </c>
      <c r="E49" s="16" t="n">
        <v>19</v>
      </c>
      <c r="F49" s="13" t="inlineStr">
        <is>
          <t>mexico</t>
        </is>
      </c>
      <c r="G49" s="14" t="inlineStr">
        <is>
          <t>ElectroHogar Express</t>
        </is>
      </c>
      <c r="H49" s="13" t="inlineStr">
        <is>
          <t>2025-10-03</t>
        </is>
      </c>
      <c r="I49" s="13">
        <f>IF(ISBLANK(E49), "Sin Verificar", IF(E49=0, "Agotado", IF(E49&lt;=15, "Bajo Stock", "Disponible")))</f>
        <v/>
      </c>
      <c r="J49" s="15">
        <f>IF(ISBLANK(E49), 0, D49*E49)</f>
        <v/>
      </c>
    </row>
    <row r="50" ht="20" customHeight="1">
      <c r="A50" s="17" t="inlineStr">
        <is>
          <t>PROD-5048</t>
        </is>
      </c>
      <c r="B50" s="9" t="inlineStr">
        <is>
          <t>Silla Ergonómica Premium - Enterprise</t>
        </is>
      </c>
      <c r="C50" s="9" t="inlineStr">
        <is>
          <t>Mobiliario</t>
        </is>
      </c>
      <c r="D50" s="10" t="n">
        <v>5246</v>
      </c>
      <c r="E50" s="18" t="n">
        <v>113</v>
      </c>
      <c r="F50" s="17" t="inlineStr">
        <is>
          <t>MX</t>
        </is>
      </c>
      <c r="G50" s="9" t="inlineStr">
        <is>
          <t>Muebles del Norte</t>
        </is>
      </c>
      <c r="H50" s="17" t="inlineStr">
        <is>
          <t>2026-02-07</t>
        </is>
      </c>
      <c r="I50" s="17">
        <f>IF(ISBLANK(E50), "Sin Verificar", IF(E50=0, "Agotado", IF(E50&lt;=15, "Bajo Stock", "Disponible")))</f>
        <v/>
      </c>
      <c r="J50" s="10">
        <f>IF(ISBLANK(E50), 0, D50*E50)</f>
        <v/>
      </c>
    </row>
    <row r="51" ht="20" customHeight="1">
      <c r="A51" s="13" t="inlineStr">
        <is>
          <t>PROD-5049</t>
        </is>
      </c>
      <c r="B51" s="14" t="inlineStr">
        <is>
          <t>Escritorio Elevable Automático - Estándar</t>
        </is>
      </c>
      <c r="C51" s="14" t="inlineStr">
        <is>
          <t>Mobiliario</t>
        </is>
      </c>
      <c r="D51" s="15" t="n">
        <v>7869</v>
      </c>
      <c r="E51" s="20" t="n">
        <v>4</v>
      </c>
      <c r="F51" s="13" t="inlineStr">
        <is>
          <t>México</t>
        </is>
      </c>
      <c r="G51" s="14" t="inlineStr">
        <is>
          <t>ElectroHogar Express</t>
        </is>
      </c>
      <c r="H51" s="13" t="inlineStr">
        <is>
          <t>2026-04-28</t>
        </is>
      </c>
      <c r="I51" s="13">
        <f>IF(ISBLANK(E51), "Sin Verificar", IF(E51=0, "Agotado", IF(E51&lt;=15, "Bajo Stock", "Disponible")))</f>
        <v/>
      </c>
      <c r="J51" s="15">
        <f>IF(ISBLANK(E51), 0, D51*E51)</f>
        <v/>
      </c>
    </row>
    <row r="52" ht="20" customHeight="1">
      <c r="A52" s="17" t="inlineStr">
        <is>
          <t>PROD-5050</t>
        </is>
      </c>
      <c r="B52" s="9" t="inlineStr">
        <is>
          <t>Escritorio Elevable Automático - Pro</t>
        </is>
      </c>
      <c r="C52" s="9" t="inlineStr">
        <is>
          <t>Mobiliario</t>
        </is>
      </c>
      <c r="D52" s="10" t="n">
        <v>3445</v>
      </c>
      <c r="E52" s="18" t="n">
        <v>32</v>
      </c>
      <c r="F52" s="17" t="inlineStr">
        <is>
          <t>México</t>
        </is>
      </c>
      <c r="G52" s="9" t="inlineStr">
        <is>
          <t>TechImports MX</t>
        </is>
      </c>
      <c r="H52" s="17" t="inlineStr">
        <is>
          <t>2025-09-23</t>
        </is>
      </c>
      <c r="I52" s="17">
        <f>IF(ISBLANK(E52), "Sin Verificar", IF(E52=0, "Agotado", IF(E52&lt;=15, "Bajo Stock", "Disponible")))</f>
        <v/>
      </c>
      <c r="J52" s="10">
        <f>IF(ISBLANK(E52), 0, D52*E52)</f>
        <v/>
      </c>
    </row>
    <row r="53" ht="20" customHeight="1">
      <c r="A53" s="13" t="inlineStr">
        <is>
          <t>PROD-5051</t>
        </is>
      </c>
      <c r="B53" s="14" t="inlineStr">
        <is>
          <t>Escritorio Elevable Automático - Enterprise</t>
        </is>
      </c>
      <c r="C53" s="14" t="inlineStr">
        <is>
          <t>Mobiliario</t>
        </is>
      </c>
      <c r="D53" s="15" t="n">
        <v>6223</v>
      </c>
      <c r="E53" s="16" t="n">
        <v>108</v>
      </c>
      <c r="F53" s="13" t="inlineStr">
        <is>
          <t>mexico</t>
        </is>
      </c>
      <c r="G53" s="14" t="inlineStr">
        <is>
          <t>LogiTech Dist.</t>
        </is>
      </c>
      <c r="H53" s="13" t="inlineStr">
        <is>
          <t>2025-12-12</t>
        </is>
      </c>
      <c r="I53" s="13">
        <f>IF(ISBLANK(E53), "Sin Verificar", IF(E53=0, "Agotado", IF(E53&lt;=15, "Bajo Stock", "Disponible")))</f>
        <v/>
      </c>
      <c r="J53" s="15">
        <f>IF(ISBLANK(E53), 0, D53*E53)</f>
        <v/>
      </c>
    </row>
    <row r="54" ht="20" customHeight="1">
      <c r="A54" s="17" t="inlineStr">
        <is>
          <t>PROD-5052</t>
        </is>
      </c>
      <c r="B54" s="9" t="inlineStr">
        <is>
          <t>Lámpara LED Inteligente - Estándar</t>
        </is>
      </c>
      <c r="C54" s="9" t="inlineStr">
        <is>
          <t>Mobiliario</t>
        </is>
      </c>
      <c r="D54" s="10" t="n">
        <v>2945</v>
      </c>
      <c r="E54" s="18" t="n">
        <v/>
      </c>
      <c r="F54" s="17" t="inlineStr">
        <is>
          <t>mexico</t>
        </is>
      </c>
      <c r="G54" s="9" t="inlineStr">
        <is>
          <t>ElectroHogar Express</t>
        </is>
      </c>
      <c r="H54" s="17" t="inlineStr">
        <is>
          <t>2026-04-23</t>
        </is>
      </c>
      <c r="I54" s="17">
        <f>IF(ISBLANK(E54), "Sin Verificar", IF(E54=0, "Agotado", IF(E54&lt;=15, "Bajo Stock", "Disponible")))</f>
        <v/>
      </c>
      <c r="J54" s="10">
        <f>IF(ISBLANK(E54), 0, D54*E54)</f>
        <v/>
      </c>
    </row>
    <row r="55" ht="20" customHeight="1">
      <c r="A55" s="13" t="inlineStr">
        <is>
          <t>PROD-5053</t>
        </is>
      </c>
      <c r="B55" s="14" t="inlineStr">
        <is>
          <t>Lámpara LED Inteligente - Pro</t>
        </is>
      </c>
      <c r="C55" s="14" t="inlineStr">
        <is>
          <t>Mobiliario</t>
        </is>
      </c>
      <c r="D55" s="15" t="n">
        <v>2505</v>
      </c>
      <c r="E55" s="16" t="n">
        <v>45</v>
      </c>
      <c r="F55" s="13" t="inlineStr">
        <is>
          <t>MX</t>
        </is>
      </c>
      <c r="G55" s="14" t="inlineStr">
        <is>
          <t>Global Audio SA</t>
        </is>
      </c>
      <c r="H55" s="13" t="inlineStr">
        <is>
          <t>2025-11-02</t>
        </is>
      </c>
      <c r="I55" s="13">
        <f>IF(ISBLANK(E55), "Sin Verificar", IF(E55=0, "Agotado", IF(E55&lt;=15, "Bajo Stock", "Disponible")))</f>
        <v/>
      </c>
      <c r="J55" s="15">
        <f>IF(ISBLANK(E55), 0, D55*E55)</f>
        <v/>
      </c>
    </row>
    <row r="56" ht="20" customHeight="1">
      <c r="A56" s="17" t="inlineStr">
        <is>
          <t>PROD-5054</t>
        </is>
      </c>
      <c r="B56" s="9" t="inlineStr">
        <is>
          <t>Lámpara LED Inteligente - Enterprise</t>
        </is>
      </c>
      <c r="C56" s="9" t="inlineStr">
        <is>
          <t>Mobiliario</t>
        </is>
      </c>
      <c r="D56" s="10" t="n">
        <v>9356</v>
      </c>
      <c r="E56" s="18" t="n">
        <v>50</v>
      </c>
      <c r="F56" s="17" t="inlineStr">
        <is>
          <t>mex</t>
        </is>
      </c>
      <c r="G56" s="9" t="inlineStr">
        <is>
          <t>ElectroHogar Express</t>
        </is>
      </c>
      <c r="H56" s="17" t="inlineStr">
        <is>
          <t>2025-10-12</t>
        </is>
      </c>
      <c r="I56" s="17">
        <f>IF(ISBLANK(E56), "Sin Verificar", IF(E56=0, "Agotado", IF(E56&lt;=15, "Bajo Stock", "Disponible")))</f>
        <v/>
      </c>
      <c r="J56" s="10">
        <f>IF(ISBLANK(E56), 0, D56*E56)</f>
        <v/>
      </c>
    </row>
    <row r="57" ht="20" customHeight="1">
      <c r="A57" s="13" t="inlineStr">
        <is>
          <t>PROD-5055</t>
        </is>
      </c>
      <c r="B57" s="14" t="inlineStr">
        <is>
          <t>Cafetera Espresso Pro - Estándar</t>
        </is>
      </c>
      <c r="C57" s="14" t="inlineStr">
        <is>
          <t>Hogar</t>
        </is>
      </c>
      <c r="D57" s="15" t="n">
        <v>7417</v>
      </c>
      <c r="E57" s="16" t="n">
        <v>47</v>
      </c>
      <c r="F57" s="13" t="inlineStr">
        <is>
          <t>mex</t>
        </is>
      </c>
      <c r="G57" s="14" t="inlineStr">
        <is>
          <t>ElectroHogar Express</t>
        </is>
      </c>
      <c r="H57" s="13" t="inlineStr">
        <is>
          <t>2025-12-21</t>
        </is>
      </c>
      <c r="I57" s="13">
        <f>IF(ISBLANK(E57), "Sin Verificar", IF(E57=0, "Agotado", IF(E57&lt;=15, "Bajo Stock", "Disponible")))</f>
        <v/>
      </c>
      <c r="J57" s="15">
        <f>IF(ISBLANK(E57), 0, D57*E57)</f>
        <v/>
      </c>
    </row>
    <row r="58" ht="20" customHeight="1">
      <c r="A58" s="17" t="inlineStr">
        <is>
          <t>PROD-5056</t>
        </is>
      </c>
      <c r="B58" s="9" t="inlineStr">
        <is>
          <t>Cafetera Espresso Pro - Pro</t>
        </is>
      </c>
      <c r="C58" s="9" t="inlineStr">
        <is>
          <t>Hogar</t>
        </is>
      </c>
      <c r="D58" s="10" t="n">
        <v>7103</v>
      </c>
      <c r="E58" s="18" t="n">
        <v>97</v>
      </c>
      <c r="F58" s="17" t="inlineStr">
        <is>
          <t>mexico</t>
        </is>
      </c>
      <c r="G58" s="9" t="inlineStr">
        <is>
          <t>Global Audio SA</t>
        </is>
      </c>
      <c r="H58" s="17" t="inlineStr">
        <is>
          <t>2025-12-14</t>
        </is>
      </c>
      <c r="I58" s="17">
        <f>IF(ISBLANK(E58), "Sin Verificar", IF(E58=0, "Agotado", IF(E58&lt;=15, "Bajo Stock", "Disponible")))</f>
        <v/>
      </c>
      <c r="J58" s="10">
        <f>IF(ISBLANK(E58), 0, D58*E58)</f>
        <v/>
      </c>
    </row>
    <row r="59" ht="20" customHeight="1">
      <c r="A59" s="13" t="inlineStr">
        <is>
          <t>PROD-5057</t>
        </is>
      </c>
      <c r="B59" s="14" t="inlineStr">
        <is>
          <t>Cafetera Espresso Pro - Enterprise</t>
        </is>
      </c>
      <c r="C59" s="14" t="inlineStr">
        <is>
          <t>Hogar</t>
        </is>
      </c>
      <c r="D59" s="15" t="n">
        <v>16811</v>
      </c>
      <c r="E59" s="16" t="n">
        <v>112</v>
      </c>
      <c r="F59" s="13" t="inlineStr">
        <is>
          <t>MX</t>
        </is>
      </c>
      <c r="G59" s="14" t="inlineStr">
        <is>
          <t>TechImports MX</t>
        </is>
      </c>
      <c r="H59" s="13" t="inlineStr">
        <is>
          <t>2026-04-18</t>
        </is>
      </c>
      <c r="I59" s="13">
        <f>IF(ISBLANK(E59), "Sin Verificar", IF(E59=0, "Agotado", IF(E59&lt;=15, "Bajo Stock", "Disponible")))</f>
        <v/>
      </c>
      <c r="J59" s="15">
        <f>IF(ISBLANK(E59), 0, D59*E59)</f>
        <v/>
      </c>
    </row>
    <row r="60" ht="20" customHeight="1">
      <c r="A60" s="17" t="inlineStr">
        <is>
          <t>PROD-5058</t>
        </is>
      </c>
      <c r="B60" s="9" t="inlineStr">
        <is>
          <t>Freidora de Aire Digital - Estándar</t>
        </is>
      </c>
      <c r="C60" s="9" t="inlineStr">
        <is>
          <t>Hogar</t>
        </is>
      </c>
      <c r="D60" s="10" t="n">
        <v>4758</v>
      </c>
      <c r="E60" s="18" t="n">
        <v>91</v>
      </c>
      <c r="F60" s="17" t="inlineStr">
        <is>
          <t>mexico</t>
        </is>
      </c>
      <c r="G60" s="9" t="inlineStr">
        <is>
          <t>ElectroHogar Express</t>
        </is>
      </c>
      <c r="H60" s="17" t="inlineStr">
        <is>
          <t>2025-12-20</t>
        </is>
      </c>
      <c r="I60" s="17">
        <f>IF(ISBLANK(E60), "Sin Verificar", IF(E60=0, "Agotado", IF(E60&lt;=15, "Bajo Stock", "Disponible")))</f>
        <v/>
      </c>
      <c r="J60" s="10">
        <f>IF(ISBLANK(E60), 0, D60*E60)</f>
        <v/>
      </c>
    </row>
    <row r="61" ht="20" customHeight="1">
      <c r="A61" s="13" t="inlineStr">
        <is>
          <t>PROD-5059</t>
        </is>
      </c>
      <c r="B61" s="14" t="inlineStr">
        <is>
          <t>Freidora de Aire Digital - Pro</t>
        </is>
      </c>
      <c r="C61" s="14" t="inlineStr">
        <is>
          <t>Hogar</t>
        </is>
      </c>
      <c r="D61" s="15" t="n">
        <v>12297</v>
      </c>
      <c r="E61" s="16" t="n">
        <v>79</v>
      </c>
      <c r="F61" s="13" t="inlineStr">
        <is>
          <t>México</t>
        </is>
      </c>
      <c r="G61" s="14" t="inlineStr">
        <is>
          <t>Global Audio SA</t>
        </is>
      </c>
      <c r="H61" s="13" t="inlineStr">
        <is>
          <t>2025-09-12</t>
        </is>
      </c>
      <c r="I61" s="13">
        <f>IF(ISBLANK(E61), "Sin Verificar", IF(E61=0, "Agotado", IF(E61&lt;=15, "Bajo Stock", "Disponible")))</f>
        <v/>
      </c>
      <c r="J61" s="15">
        <f>IF(ISBLANK(E61), 0, D61*E61)</f>
        <v/>
      </c>
    </row>
    <row r="62" ht="20" customHeight="1">
      <c r="A62" s="17" t="inlineStr">
        <is>
          <t>PROD-5060</t>
        </is>
      </c>
      <c r="B62" s="9" t="inlineStr">
        <is>
          <t>Freidora de Aire Digital - Enterprise</t>
        </is>
      </c>
      <c r="C62" s="9" t="inlineStr">
        <is>
          <t>Hogar</t>
        </is>
      </c>
      <c r="D62" s="10" t="n">
        <v>8899</v>
      </c>
      <c r="E62" s="18" t="n">
        <v>98</v>
      </c>
      <c r="F62" s="17" t="inlineStr">
        <is>
          <t>MX</t>
        </is>
      </c>
      <c r="G62" s="9" t="inlineStr">
        <is>
          <t>LogiTech Dist.</t>
        </is>
      </c>
      <c r="H62" s="17" t="inlineStr">
        <is>
          <t>2025-10-29</t>
        </is>
      </c>
      <c r="I62" s="17">
        <f>IF(ISBLANK(E62), "Sin Verificar", IF(E62=0, "Agotado", IF(E62&lt;=15, "Bajo Stock", "Disponible")))</f>
        <v/>
      </c>
      <c r="J62" s="10">
        <f>IF(ISBLANK(E62), 0, D62*E62)</f>
        <v/>
      </c>
    </row>
    <row r="63" ht="20" customHeight="1">
      <c r="A63" s="13" t="inlineStr">
        <is>
          <t>PROD-5061</t>
        </is>
      </c>
      <c r="B63" s="14" t="inlineStr">
        <is>
          <t>Aspiradora Robot Max - Estándar</t>
        </is>
      </c>
      <c r="C63" s="14" t="inlineStr">
        <is>
          <t>Hogar</t>
        </is>
      </c>
      <c r="D63" s="15" t="n">
        <v>10890</v>
      </c>
      <c r="E63" s="20" t="n">
        <v>12</v>
      </c>
      <c r="F63" s="13" t="inlineStr">
        <is>
          <t>MX</t>
        </is>
      </c>
      <c r="G63" s="14" t="inlineStr">
        <is>
          <t>Muebles del Norte</t>
        </is>
      </c>
      <c r="H63" s="13" t="inlineStr">
        <is>
          <t>2025-09-25</t>
        </is>
      </c>
      <c r="I63" s="13">
        <f>IF(ISBLANK(E63), "Sin Verificar", IF(E63=0, "Agotado", IF(E63&lt;=15, "Bajo Stock", "Disponible")))</f>
        <v/>
      </c>
      <c r="J63" s="15">
        <f>IF(ISBLANK(E63), 0, D63*E63)</f>
        <v/>
      </c>
    </row>
    <row r="64" ht="20" customHeight="1">
      <c r="A64" s="17" t="inlineStr">
        <is>
          <t>PROD-5062</t>
        </is>
      </c>
      <c r="B64" s="9" t="inlineStr">
        <is>
          <t>Aspiradora Robot Max - Pro</t>
        </is>
      </c>
      <c r="C64" s="9" t="inlineStr">
        <is>
          <t>Hogar</t>
        </is>
      </c>
      <c r="D64" s="10" t="n">
        <v>11696</v>
      </c>
      <c r="E64" s="18" t="n">
        <v>106</v>
      </c>
      <c r="F64" s="17" t="inlineStr">
        <is>
          <t>MX</t>
        </is>
      </c>
      <c r="G64" s="9" t="inlineStr">
        <is>
          <t>Global Audio SA</t>
        </is>
      </c>
      <c r="H64" s="17" t="inlineStr">
        <is>
          <t>2025-08-04</t>
        </is>
      </c>
      <c r="I64" s="17">
        <f>IF(ISBLANK(E64), "Sin Verificar", IF(E64=0, "Agotado", IF(E64&lt;=15, "Bajo Stock", "Disponible")))</f>
        <v/>
      </c>
      <c r="J64" s="10">
        <f>IF(ISBLANK(E64), 0, D64*E64)</f>
        <v/>
      </c>
    </row>
    <row r="65" ht="20" customHeight="1">
      <c r="A65" s="13" t="inlineStr">
        <is>
          <t>PROD-5063</t>
        </is>
      </c>
      <c r="B65" s="14" t="inlineStr">
        <is>
          <t>Aspiradora Robot Max - Enterprise</t>
        </is>
      </c>
      <c r="C65" s="14" t="inlineStr">
        <is>
          <t>Hogar</t>
        </is>
      </c>
      <c r="D65" s="15" t="n">
        <v>20105</v>
      </c>
      <c r="E65" s="16" t="n">
        <v>65</v>
      </c>
      <c r="F65" s="13" t="inlineStr">
        <is>
          <t>mexico</t>
        </is>
      </c>
      <c r="G65" s="14" t="inlineStr">
        <is>
          <t>Global Audio SA</t>
        </is>
      </c>
      <c r="H65" s="13" t="inlineStr">
        <is>
          <t>2025-10-13</t>
        </is>
      </c>
      <c r="I65" s="13">
        <f>IF(ISBLANK(E65), "Sin Verificar", IF(E65=0, "Agotado", IF(E65&lt;=15, "Bajo Stock", "Disponible")))</f>
        <v/>
      </c>
      <c r="J65" s="15">
        <f>IF(ISBLANK(E65), 0, D65*E65)</f>
        <v/>
      </c>
    </row>
    <row r="66" ht="20" customHeight="1">
      <c r="A66" s="17" t="inlineStr">
        <is>
          <t>PROD-5064</t>
        </is>
      </c>
      <c r="B66" s="9" t="inlineStr">
        <is>
          <t>Purificador de Aire Pure - Estándar</t>
        </is>
      </c>
      <c r="C66" s="9" t="inlineStr">
        <is>
          <t>Hogar</t>
        </is>
      </c>
      <c r="D66" s="10" t="n">
        <v>3892</v>
      </c>
      <c r="E66" s="18" t="n">
        <v>47</v>
      </c>
      <c r="F66" s="17" t="inlineStr">
        <is>
          <t>MX</t>
        </is>
      </c>
      <c r="G66" s="9" t="inlineStr">
        <is>
          <t>Global Audio SA</t>
        </is>
      </c>
      <c r="H66" s="17" t="inlineStr">
        <is>
          <t>2026-05-09</t>
        </is>
      </c>
      <c r="I66" s="17">
        <f>IF(ISBLANK(E66), "Sin Verificar", IF(E66=0, "Agotado", IF(E66&lt;=15, "Bajo Stock", "Disponible")))</f>
        <v/>
      </c>
      <c r="J66" s="10">
        <f>IF(ISBLANK(E66), 0, D66*E66)</f>
        <v/>
      </c>
    </row>
    <row r="67" ht="20" customHeight="1">
      <c r="A67" s="13" t="inlineStr">
        <is>
          <t>PROD-5065</t>
        </is>
      </c>
      <c r="B67" s="14" t="inlineStr">
        <is>
          <t>Purificador de Aire Pure - Pro</t>
        </is>
      </c>
      <c r="C67" s="14" t="inlineStr">
        <is>
          <t>Hogar</t>
        </is>
      </c>
      <c r="D67" s="15" t="n">
        <v>9697</v>
      </c>
      <c r="E67" s="16" t="n">
        <v>104</v>
      </c>
      <c r="F67" s="13" t="inlineStr">
        <is>
          <t>mex</t>
        </is>
      </c>
      <c r="G67" s="14" t="inlineStr">
        <is>
          <t>Muebles del Norte</t>
        </is>
      </c>
      <c r="H67" s="13" t="inlineStr">
        <is>
          <t>2025-08-01</t>
        </is>
      </c>
      <c r="I67" s="13">
        <f>IF(ISBLANK(E67), "Sin Verificar", IF(E67=0, "Agotado", IF(E67&lt;=15, "Bajo Stock", "Disponible")))</f>
        <v/>
      </c>
      <c r="J67" s="15">
        <f>IF(ISBLANK(E67), 0, D67*E67)</f>
        <v/>
      </c>
    </row>
    <row r="68" ht="20" customHeight="1">
      <c r="A68" s="17" t="inlineStr">
        <is>
          <t>PROD-5066</t>
        </is>
      </c>
      <c r="B68" s="9" t="inlineStr">
        <is>
          <t>Purificador de Aire Pure - Enterprise</t>
        </is>
      </c>
      <c r="C68" s="9" t="inlineStr">
        <is>
          <t>Hogar</t>
        </is>
      </c>
      <c r="D68" s="10" t="n">
        <v>19837</v>
      </c>
      <c r="E68" s="18" t="n">
        <v>72</v>
      </c>
      <c r="F68" s="17" t="inlineStr">
        <is>
          <t>mex</t>
        </is>
      </c>
      <c r="G68" s="9" t="inlineStr">
        <is>
          <t>TechImports MX</t>
        </is>
      </c>
      <c r="H68" s="17" t="inlineStr">
        <is>
          <t>2025-08-06</t>
        </is>
      </c>
      <c r="I68" s="17">
        <f>IF(ISBLANK(E68), "Sin Verificar", IF(E68=0, "Agotado", IF(E68&lt;=15, "Bajo Stock", "Disponible")))</f>
        <v/>
      </c>
      <c r="J68" s="10">
        <f>IF(ISBLANK(E68), 0, D68*E68)</f>
        <v/>
      </c>
    </row>
    <row r="69" ht="22" customHeight="1">
      <c r="C69" s="21" t="inlineStr">
        <is>
          <t>TOTAL GENERAL</t>
        </is>
      </c>
      <c r="E69" s="22">
        <f>SUM(E3:E68)</f>
        <v/>
      </c>
      <c r="J69" s="23">
        <f>SUM(J3:J68)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2026-05-20T05:58:02Z</dcterms:created>
  <dcterms:modified xmlns:dcterms="http://purl.org/dc/terms/" xmlns:xsi="http://www.w3.org/2001/XMLSchema-instance" xsi:type="dcterms:W3CDTF">2026-05-20T05:58:02Z</dcterms:modified>
</cp:coreProperties>
</file>